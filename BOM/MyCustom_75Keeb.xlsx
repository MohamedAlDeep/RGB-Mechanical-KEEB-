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Computer Development\Hardware\65% Keybaord\MyCustom_75Keeb\BOM\"/>
    </mc:Choice>
  </mc:AlternateContent>
  <xr:revisionPtr revIDLastSave="0" documentId="13_ncr:1_{C67AF264-D3BB-489E-8341-02B1C9EE0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Custom_75Kee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8" i="1"/>
</calcChain>
</file>

<file path=xl/sharedStrings.xml><?xml version="1.0" encoding="utf-8"?>
<sst xmlns="http://schemas.openxmlformats.org/spreadsheetml/2006/main" count="74" uniqueCount="70">
  <si>
    <t>Id</t>
  </si>
  <si>
    <t>Designator</t>
  </si>
  <si>
    <t>Quantity</t>
  </si>
  <si>
    <t>Designation</t>
  </si>
  <si>
    <t>U2</t>
  </si>
  <si>
    <t>VSSOP-8_2.3x2mm_P0.5mm</t>
  </si>
  <si>
    <t>74LVCH2T45DC</t>
  </si>
  <si>
    <t>LED81,LED30,LED64,LED1,LED58,LED17,LED39,LED36,LED47,LED24,LED80,LED20,LED31,LED68,LED23,LED7,LED63,LED2,LED70,LED26,LED73,LED5,LED67,LED3,LED85,LED25,LED62,LED18,LED69,LED41,LED13,LED9,LED46,LED48,LED53,LED86,LED38,LED42,LED44,LED14,LED71,LED83,LED11,LED12,LED15,LED76,LED72,LED84,LED32,LED29,LED37,LED51,LED59,LED79,LED28,LED56,LED8,LED19,LED65,LED35,LED57,LED10,LED60,LED43,LED34,LED61,LED27,LED16,LED87,LED50,LED45,LED54,LED40,LED22,LED4,LED6,LED82,LED74,LED78,LED21,LED49,LED75,LED33,LED52</t>
  </si>
  <si>
    <t>LED_6028R</t>
  </si>
  <si>
    <t>SK6812MINI-E</t>
  </si>
  <si>
    <t>D77,D49,D82,D24,D37,D76,D83,D3,D81,D58,D72,D56,D40,D10,D45,D53,D20,D16,D28,D70,D1,D52,D38,D19,D11,D41,D50,D34,D9,D64,D22,D23,D47,D12,D43,D80,D2,D14,D17,D67,D7,D5,D71,D42,D78,D73,D68,D57,D33,D4,D65,D69,D13,D66,D27,D36,D74,D32,D15,D6,D84,D31,D8,D18,D61,D39,D46,D48,D30,D55,D35,D62,D60,D51,D59,D29,D25,D63,D21,D26,D44,D79,D75,D54</t>
  </si>
  <si>
    <t>D_0201_0603Metric</t>
  </si>
  <si>
    <t>D</t>
  </si>
  <si>
    <t>R7,R6</t>
  </si>
  <si>
    <t>Resistor_0402</t>
  </si>
  <si>
    <t>5.1k</t>
  </si>
  <si>
    <t>C10,C7,C3,C1,C2</t>
  </si>
  <si>
    <t>Capacitor_0402</t>
  </si>
  <si>
    <t>100nF</t>
  </si>
  <si>
    <t>J1</t>
  </si>
  <si>
    <t>USB_C_HRO_TYPE-C-31-M-12</t>
  </si>
  <si>
    <t>USB_C</t>
  </si>
  <si>
    <t>U3</t>
  </si>
  <si>
    <t>ESD_SOT-23-6</t>
  </si>
  <si>
    <t>USBLC6-2SC6</t>
  </si>
  <si>
    <t>C8</t>
  </si>
  <si>
    <t>10nF</t>
  </si>
  <si>
    <t>U1</t>
  </si>
  <si>
    <t>Package_LQFP-48_7x7mm_P0.5</t>
  </si>
  <si>
    <t>STM32F072CBT6</t>
  </si>
  <si>
    <t>C12,C9,C13</t>
  </si>
  <si>
    <t>1uF</t>
  </si>
  <si>
    <t>C11,C6</t>
  </si>
  <si>
    <t>4.7uF</t>
  </si>
  <si>
    <t>U4</t>
  </si>
  <si>
    <t>Voltage_SOT-23</t>
  </si>
  <si>
    <t>XC6206</t>
  </si>
  <si>
    <t>R5</t>
  </si>
  <si>
    <t>10k</t>
  </si>
  <si>
    <t>F1</t>
  </si>
  <si>
    <t>Fuse_0603</t>
  </si>
  <si>
    <t>500mA</t>
  </si>
  <si>
    <t>SW343</t>
  </si>
  <si>
    <t>Button_TL3342</t>
  </si>
  <si>
    <t>SW_Push</t>
  </si>
  <si>
    <t>https://jlcpcb.com/partdetail/2790619-USBLC62SC6/C2687116</t>
  </si>
  <si>
    <t>https://jlcpcb.com/partdetail/Nexperia-74LVCH2T45DC125/C548924</t>
  </si>
  <si>
    <t>https://jlcpcb.com/partdetail/STMicroelectronics-STM32F072CBT6/C81720</t>
  </si>
  <si>
    <t>https://jlcpcb.com/partdetail/1877-CL05B104KO5NNNC/C1525</t>
  </si>
  <si>
    <t>https://jlcpcb.com/partdetail/TorexSemicon-XC6206P332MRG/C5446</t>
  </si>
  <si>
    <t>https://jlcpcb.com/partdetail/15869-CL05B103KB5NNNC/C15195</t>
  </si>
  <si>
    <t>https://jlcpcb.com/partdetail/26487-0402WGF1002TCE/C25744</t>
  </si>
  <si>
    <t>https://jlcpcb.com/partdetail/24469-CL05A475MP5NRNC/C23733</t>
  </si>
  <si>
    <t>https://jlcpcb.com/partdetail/OPSCOOptoelectronics-SK6812MINIE/C5149201</t>
  </si>
  <si>
    <t>https://jlcpcb.com/partdetail/53938-CL05A105KA5NQNC/C52923</t>
  </si>
  <si>
    <t>https://jlcpcb.com/partdetail/Hongda-2009T500mA250V/C529783</t>
  </si>
  <si>
    <t>https://jlcpcb.com/partdetail/Alpsalpine-SKQGABE010/C115351</t>
  </si>
  <si>
    <t>https://jlcpcb.com/partdetail/Comchip-CZRU52C2V7HF/C2886070</t>
  </si>
  <si>
    <t>https://jlcpcb.com/partdetail/Korean_HropartsElec-TYPE_C_31_M12/C165948</t>
  </si>
  <si>
    <t>https://jlcpcb.com/partdetail/26648-0402WGF5101TCE/C25905</t>
  </si>
  <si>
    <t>https://www.amazon.eg/-/en/GATERON-Switches-Pre-lubed-Mechanical-Keyboard/dp/B0C65CVFMV/ref=sr_1_1?crid=35S9XGI0ENMXB&amp;dib=eyJ2IjoiMSJ9.d0rbggVbkY0AcsIOwnBzFNULdphzE6W0rlyz1HhG5tNSrqc6oCjKiMMfAGdBwejhOlkNgiInz75ECy8O06KforDjZA233jd8GNoxoh39m_SqIkaW26QnkThHkkhlB1ZI-B_8fgqF_hGCQPZztyn-d_icpNZ93Mic3pYLI0S80ToPgStGJqp4SO92OJSYXLJKqpl--ocsgzHtjhqEM8eV2YaUhACyUSxQeadWLHBYYOP253VaDb_kpyBg578KGPHhJ4UHjX52Yc2h2d-DgqUTfEFFnpyuwljG12E6-Kc1pjw.2cwQPqlwwLG7Na5cXEqxRVIz7qc4jVd8Jm9gclFc0jg&amp;dib_tag=se&amp;keywords=rgb+switches&amp;qid=1764881966&amp;sprefix=rgb+switche%2Caps%2C116&amp;sr=8-1</t>
  </si>
  <si>
    <t>GATERON G Pro 3.0 Switches Pre-lubed 5 pinS RGB Linear for Gaming Mechanical Keyboard (Yellow)</t>
  </si>
  <si>
    <t>Footprint PCB ONLY</t>
  </si>
  <si>
    <t>Price</t>
  </si>
  <si>
    <t>Supplier (LINK)</t>
  </si>
  <si>
    <t>Redragon A101 Replacement Keycaps,104 Keyboard Keycaps, Compatible, Mechanical Keyboard Keycaps Inclusive Keypuller for Mechanical Keyboard || White</t>
  </si>
  <si>
    <t>https://www.amazon.eg/-/en/Redragon-Replacement-Compatible-Mechanical-Inclusive/dp/B01A574S82/ref=sr_1_1?crid=2L60MJ7PPE097&amp;dib=eyJ2IjoiMSJ9.KyI_7CGlbZhr6NDzrMTj7w3asZ5RSBzZwEFuJR78WSLMUJ73iaPLwEV-Cp5FdvAd3MR2DkHI4jUgVw7XOc7u-qXMEKT6wlpqoC5JsHeYxC4Gj1TiC1o1MuF7g3UUrkA3psefb5vmsL3PTTkMxGFPTYJdYBygHcIJCESxAmPNnimXeCMWxx8EuDquKGwW_aWAT0txQWCJ4YYfK8LVMn2RYi7uy4tvK8g1HXTDJyyDPAWWwfOdlVBR30HJyBcllohBMztxqIolNp5tOzoRgXTXUedBP8LolIOs_cbRc0W9n_0.uhbGyxkaR5UnQn3JBofuu-GOld6ZE45fhiGsv6S-hXg&amp;dib_tag=se&amp;keywords=key+caps&amp;qid=1764882121&amp;sprefix=key+cap%2Caps%2C116&amp;sr=8-1</t>
  </si>
  <si>
    <t>TOTAL IN USD</t>
  </si>
  <si>
    <t>Total</t>
  </si>
  <si>
    <t>PCB 5 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</si>
</sst>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u/>
      <sz val="11"/>
      <color theme="10"/>
      <name val="Calibri"/>
    </font>
    <font>
      <sz val="8"/>
      <color rgb="FF222222"/>
      <name val="Microsoft YaHei"/>
      <family val="2"/>
    </font>
    <font>
      <sz val="11"/>
      <color rgb="FF000000"/>
      <name val="Calibri"/>
      <family val="2"/>
    </font>
    <font>
      <sz val="11"/>
      <color rgb="FF202124"/>
      <name val="Calibri"/>
      <family val="2"/>
      <scheme val="minor"/>
    </font>
    <font>
      <sz val="11"/>
      <color rgb="FF0F1111"/>
      <name val="Calibri"/>
      <family val="2"/>
      <scheme val="minor"/>
    </font>
    <font>
      <b/>
      <sz val="10"/>
      <color rgb="FFFF8C22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24469-CL05A475MP5NRNC/C23733" TargetMode="External"/><Relationship Id="rId3" Type="http://schemas.openxmlformats.org/officeDocument/2006/relationships/hyperlink" Target="https://jlcpcb.com/partdetail/Comchip-CZRU52C2V7HF/C2886070" TargetMode="External"/><Relationship Id="rId7" Type="http://schemas.openxmlformats.org/officeDocument/2006/relationships/hyperlink" Target="https://jlcpcb.com/partdetail/15869-CL05B103KB5NNNC/C15195" TargetMode="External"/><Relationship Id="rId2" Type="http://schemas.openxmlformats.org/officeDocument/2006/relationships/hyperlink" Target="https://jlcpcb.com/partdetail/Alpsalpine-SKQGABE010/C115351" TargetMode="External"/><Relationship Id="rId1" Type="http://schemas.openxmlformats.org/officeDocument/2006/relationships/hyperlink" Target="https://jlcpcb.com/partdetail/Nexperia-74LVCH2T45DC125/C548924" TargetMode="External"/><Relationship Id="rId6" Type="http://schemas.openxmlformats.org/officeDocument/2006/relationships/hyperlink" Target="https://jlcpcb.com/partdetail/26487-0402WGF1002TCE/C25744" TargetMode="External"/><Relationship Id="rId5" Type="http://schemas.openxmlformats.org/officeDocument/2006/relationships/hyperlink" Target="https://jlcpcb.com/partdetail/1877-CL05B104KO5NNNC/C1525" TargetMode="External"/><Relationship Id="rId4" Type="http://schemas.openxmlformats.org/officeDocument/2006/relationships/hyperlink" Target="https://jlcpcb.com/partdetail/Korean_HropartsElec-TYPE_C_31_M12/C1659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F7" sqref="F7"/>
    </sheetView>
  </sheetViews>
  <sheetFormatPr defaultRowHeight="14.4" x14ac:dyDescent="0.3"/>
  <cols>
    <col min="1" max="1" width="23.6640625" customWidth="1"/>
    <col min="2" max="2" width="31.33203125" customWidth="1"/>
    <col min="3" max="3" width="20.21875" customWidth="1"/>
    <col min="4" max="4" width="19.109375" customWidth="1"/>
    <col min="5" max="5" width="24.6640625" customWidth="1"/>
    <col min="7" max="7" width="13.44140625" customWidth="1"/>
  </cols>
  <sheetData>
    <row r="1" spans="1:9" x14ac:dyDescent="0.3">
      <c r="A1" t="s">
        <v>0</v>
      </c>
      <c r="B1" t="s">
        <v>1</v>
      </c>
      <c r="C1" s="7" t="s">
        <v>62</v>
      </c>
      <c r="D1" t="s">
        <v>2</v>
      </c>
      <c r="E1" t="s">
        <v>3</v>
      </c>
      <c r="F1" s="7" t="s">
        <v>64</v>
      </c>
      <c r="G1" s="7" t="s">
        <v>63</v>
      </c>
      <c r="I1" s="7" t="s">
        <v>68</v>
      </c>
    </row>
    <row r="6" spans="1:9" ht="72" x14ac:dyDescent="0.3">
      <c r="B6" s="6" t="s">
        <v>65</v>
      </c>
      <c r="D6">
        <v>1</v>
      </c>
      <c r="F6" t="s">
        <v>66</v>
      </c>
      <c r="G6" s="5">
        <v>12.63</v>
      </c>
      <c r="I6" s="5">
        <v>12.63</v>
      </c>
    </row>
    <row r="7" spans="1:9" ht="43.2" x14ac:dyDescent="0.3">
      <c r="A7">
        <v>6</v>
      </c>
      <c r="B7" s="6" t="s">
        <v>61</v>
      </c>
      <c r="D7">
        <v>1</v>
      </c>
      <c r="F7" t="s">
        <v>60</v>
      </c>
      <c r="G7" s="5">
        <v>10.52</v>
      </c>
      <c r="I7" s="5">
        <v>10.52</v>
      </c>
    </row>
    <row r="8" spans="1:9" x14ac:dyDescent="0.3">
      <c r="A8">
        <v>7</v>
      </c>
      <c r="B8" t="s">
        <v>4</v>
      </c>
      <c r="C8" t="s">
        <v>5</v>
      </c>
      <c r="D8">
        <v>1</v>
      </c>
      <c r="E8" t="s">
        <v>6</v>
      </c>
      <c r="F8" s="1" t="s">
        <v>46</v>
      </c>
      <c r="G8">
        <v>0.56399999999999995</v>
      </c>
      <c r="I8">
        <f>PRODUCT(G8,D8)</f>
        <v>0.56399999999999995</v>
      </c>
    </row>
    <row r="9" spans="1:9" x14ac:dyDescent="0.3">
      <c r="A9">
        <v>8</v>
      </c>
      <c r="B9" t="s">
        <v>7</v>
      </c>
      <c r="C9" t="s">
        <v>8</v>
      </c>
      <c r="D9">
        <v>84</v>
      </c>
      <c r="E9" t="s">
        <v>9</v>
      </c>
      <c r="F9" t="s">
        <v>53</v>
      </c>
      <c r="G9">
        <v>5.7799999999999997E-2</v>
      </c>
      <c r="I9">
        <f t="shared" ref="I9:I22" si="0">PRODUCT(G9,D9)</f>
        <v>4.8552</v>
      </c>
    </row>
    <row r="10" spans="1:9" ht="15" x14ac:dyDescent="0.35">
      <c r="A10">
        <v>9</v>
      </c>
      <c r="B10" t="s">
        <v>10</v>
      </c>
      <c r="C10" t="s">
        <v>11</v>
      </c>
      <c r="D10">
        <v>84</v>
      </c>
      <c r="E10" t="s">
        <v>12</v>
      </c>
      <c r="F10" s="3" t="s">
        <v>57</v>
      </c>
      <c r="G10" s="4">
        <v>0.06</v>
      </c>
      <c r="I10">
        <f t="shared" si="0"/>
        <v>5.04</v>
      </c>
    </row>
    <row r="11" spans="1:9" x14ac:dyDescent="0.3">
      <c r="A11">
        <v>10</v>
      </c>
      <c r="B11" t="s">
        <v>13</v>
      </c>
      <c r="C11" t="s">
        <v>14</v>
      </c>
      <c r="D11">
        <v>2</v>
      </c>
      <c r="E11" t="s">
        <v>15</v>
      </c>
      <c r="F11" s="1" t="s">
        <v>51</v>
      </c>
      <c r="G11">
        <v>5.9999999999999995E-4</v>
      </c>
      <c r="I11">
        <f t="shared" si="0"/>
        <v>1.1999999999999999E-3</v>
      </c>
    </row>
    <row r="12" spans="1:9" x14ac:dyDescent="0.3">
      <c r="A12">
        <v>11</v>
      </c>
      <c r="B12" t="s">
        <v>16</v>
      </c>
      <c r="C12" t="s">
        <v>17</v>
      </c>
      <c r="D12">
        <v>5</v>
      </c>
      <c r="E12" t="s">
        <v>18</v>
      </c>
      <c r="F12" s="1" t="s">
        <v>48</v>
      </c>
      <c r="G12">
        <v>1.1999999999999999E-3</v>
      </c>
      <c r="I12">
        <f t="shared" si="0"/>
        <v>5.9999999999999993E-3</v>
      </c>
    </row>
    <row r="13" spans="1:9" ht="15" x14ac:dyDescent="0.35">
      <c r="A13">
        <v>12</v>
      </c>
      <c r="B13" t="s">
        <v>19</v>
      </c>
      <c r="C13" t="s">
        <v>20</v>
      </c>
      <c r="D13">
        <v>1</v>
      </c>
      <c r="E13" t="s">
        <v>21</v>
      </c>
      <c r="F13" s="3" t="s">
        <v>58</v>
      </c>
      <c r="G13" s="4">
        <v>0.17</v>
      </c>
      <c r="I13">
        <f t="shared" si="0"/>
        <v>0.17</v>
      </c>
    </row>
    <row r="14" spans="1:9" x14ac:dyDescent="0.3">
      <c r="A14">
        <v>13</v>
      </c>
      <c r="B14" t="s">
        <v>22</v>
      </c>
      <c r="C14" t="s">
        <v>23</v>
      </c>
      <c r="D14">
        <v>1</v>
      </c>
      <c r="E14" t="s">
        <v>24</v>
      </c>
      <c r="F14" t="s">
        <v>45</v>
      </c>
      <c r="G14">
        <v>3.6799999999999999E-2</v>
      </c>
      <c r="I14">
        <f t="shared" si="0"/>
        <v>3.6799999999999999E-2</v>
      </c>
    </row>
    <row r="15" spans="1:9" x14ac:dyDescent="0.3">
      <c r="A15">
        <v>14</v>
      </c>
      <c r="B15" t="s">
        <v>25</v>
      </c>
      <c r="C15" t="s">
        <v>17</v>
      </c>
      <c r="D15">
        <v>1</v>
      </c>
      <c r="E15" t="s">
        <v>26</v>
      </c>
      <c r="F15" t="s">
        <v>54</v>
      </c>
      <c r="G15">
        <v>2.8999999999999998E-3</v>
      </c>
      <c r="I15">
        <f t="shared" si="0"/>
        <v>2.8999999999999998E-3</v>
      </c>
    </row>
    <row r="16" spans="1:9" x14ac:dyDescent="0.3">
      <c r="A16">
        <v>15</v>
      </c>
      <c r="B16" t="s">
        <v>27</v>
      </c>
      <c r="C16" t="s">
        <v>28</v>
      </c>
      <c r="D16">
        <v>1</v>
      </c>
      <c r="E16" t="s">
        <v>29</v>
      </c>
      <c r="F16" t="s">
        <v>47</v>
      </c>
      <c r="G16">
        <v>1.3005</v>
      </c>
      <c r="I16">
        <f t="shared" si="0"/>
        <v>1.3005</v>
      </c>
    </row>
    <row r="17" spans="1:9" x14ac:dyDescent="0.3">
      <c r="A17">
        <v>16</v>
      </c>
      <c r="B17" t="s">
        <v>30</v>
      </c>
      <c r="C17" t="s">
        <v>17</v>
      </c>
      <c r="D17">
        <v>3</v>
      </c>
      <c r="E17" t="s">
        <v>31</v>
      </c>
      <c r="F17" s="1" t="s">
        <v>50</v>
      </c>
      <c r="G17">
        <v>1.4E-3</v>
      </c>
      <c r="I17">
        <f t="shared" si="0"/>
        <v>4.1999999999999997E-3</v>
      </c>
    </row>
    <row r="18" spans="1:9" x14ac:dyDescent="0.3">
      <c r="A18">
        <v>17</v>
      </c>
      <c r="B18" t="s">
        <v>32</v>
      </c>
      <c r="C18" t="s">
        <v>17</v>
      </c>
      <c r="D18">
        <v>2</v>
      </c>
      <c r="E18" t="s">
        <v>33</v>
      </c>
      <c r="F18" s="1" t="s">
        <v>52</v>
      </c>
      <c r="G18">
        <v>4.5999999999999999E-3</v>
      </c>
      <c r="I18">
        <f t="shared" si="0"/>
        <v>9.1999999999999998E-3</v>
      </c>
    </row>
    <row r="19" spans="1:9" x14ac:dyDescent="0.3">
      <c r="A19">
        <v>18</v>
      </c>
      <c r="B19" t="s">
        <v>34</v>
      </c>
      <c r="C19" t="s">
        <v>35</v>
      </c>
      <c r="D19">
        <v>1</v>
      </c>
      <c r="E19" t="s">
        <v>36</v>
      </c>
      <c r="F19" t="s">
        <v>49</v>
      </c>
      <c r="G19">
        <v>9.98E-2</v>
      </c>
      <c r="I19">
        <f t="shared" si="0"/>
        <v>9.98E-2</v>
      </c>
    </row>
    <row r="20" spans="1:9" x14ac:dyDescent="0.3">
      <c r="A20">
        <v>19</v>
      </c>
      <c r="B20" t="s">
        <v>37</v>
      </c>
      <c r="C20" t="s">
        <v>14</v>
      </c>
      <c r="D20">
        <v>1</v>
      </c>
      <c r="E20" t="s">
        <v>38</v>
      </c>
      <c r="F20" t="s">
        <v>59</v>
      </c>
      <c r="G20">
        <v>5.0000000000000001E-4</v>
      </c>
      <c r="I20">
        <f t="shared" si="0"/>
        <v>5.0000000000000001E-4</v>
      </c>
    </row>
    <row r="21" spans="1:9" x14ac:dyDescent="0.3">
      <c r="A21">
        <v>20</v>
      </c>
      <c r="B21" t="s">
        <v>39</v>
      </c>
      <c r="C21" t="s">
        <v>40</v>
      </c>
      <c r="D21">
        <v>1</v>
      </c>
      <c r="E21" t="s">
        <v>41</v>
      </c>
      <c r="F21" t="s">
        <v>55</v>
      </c>
      <c r="G21">
        <v>5.5100000000000003E-2</v>
      </c>
      <c r="I21">
        <f t="shared" si="0"/>
        <v>5.5100000000000003E-2</v>
      </c>
    </row>
    <row r="22" spans="1:9" x14ac:dyDescent="0.3">
      <c r="A22">
        <v>21</v>
      </c>
      <c r="B22" t="s">
        <v>42</v>
      </c>
      <c r="C22" t="s">
        <v>43</v>
      </c>
      <c r="D22">
        <v>1</v>
      </c>
      <c r="E22" t="s">
        <v>44</v>
      </c>
      <c r="F22" s="2" t="s">
        <v>56</v>
      </c>
      <c r="G22">
        <v>5.0000000000000001E-4</v>
      </c>
      <c r="I22">
        <f t="shared" si="0"/>
        <v>5.0000000000000001E-4</v>
      </c>
    </row>
    <row r="25" spans="1:9" x14ac:dyDescent="0.3">
      <c r="A25" s="7" t="s">
        <v>67</v>
      </c>
      <c r="I25">
        <f>SUM(I8:I22)</f>
        <v>12.145900000000001</v>
      </c>
    </row>
    <row r="26" spans="1:9" ht="15.6" x14ac:dyDescent="0.4">
      <c r="A26" s="7" t="s">
        <v>69</v>
      </c>
      <c r="G26" s="8"/>
      <c r="I26">
        <v>50</v>
      </c>
    </row>
    <row r="27" spans="1:9" x14ac:dyDescent="0.3">
      <c r="G27" s="7"/>
      <c r="I27">
        <v>75</v>
      </c>
    </row>
  </sheetData>
  <sheetProtection formatCells="0" formatColumns="0" formatRows="0" insertColumns="0" insertRows="0" insertHyperlinks="0" deleteColumns="0" deleteRows="0" sort="0" autoFilter="0" pivotTables="0"/>
  <hyperlinks>
    <hyperlink ref="F8" r:id="rId1" xr:uid="{3D952FDF-31BC-43B1-BECB-A2FA49D6721B}"/>
    <hyperlink ref="F22" r:id="rId2" xr:uid="{A1B1E27C-775C-415E-AC5F-2E924C7DCDB3}"/>
    <hyperlink ref="F10" r:id="rId3" xr:uid="{5001F1FC-3179-4E89-A203-7CFF5089C7CA}"/>
    <hyperlink ref="F13" r:id="rId4" xr:uid="{AA6D5B53-7A44-4BCB-BB03-97A4B9CB976B}"/>
    <hyperlink ref="F12" r:id="rId5" xr:uid="{F4062A57-D1BB-405C-AB72-E3583051D995}"/>
    <hyperlink ref="F11" r:id="rId6" xr:uid="{655982F1-3220-4878-9C34-4151507EC320}"/>
    <hyperlink ref="F17" r:id="rId7" xr:uid="{C653804C-198A-43A2-A278-E86E91A88B17}"/>
    <hyperlink ref="F18" r:id="rId8" xr:uid="{5C85943B-C940-42B0-9A73-6D37AB4E57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MyCustom_75Keeb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Samir Abed El Nafee Mohamed</cp:lastModifiedBy>
  <dcterms:created xsi:type="dcterms:W3CDTF">2025-12-04T14:13:08Z</dcterms:created>
  <dcterms:modified xsi:type="dcterms:W3CDTF">2025-12-09T11:57:03Z</dcterms:modified>
  <cp:category/>
</cp:coreProperties>
</file>